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cef613b37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S42 Master Plan" sheetId="1" r:id="R2d47857fd554402d"/>
    <x:sheet xmlns:r="http://schemas.openxmlformats.org/officeDocument/2006/relationships" name="Long Run Roadmap" sheetId="2" r:id="Ref24af745f1e4bbb"/>
    <x:sheet xmlns:r="http://schemas.openxmlformats.org/officeDocument/2006/relationships" name="Guardrails" sheetId="3" r:id="R50610c6d420b47dc"/>
    <x:sheet xmlns:r="http://schemas.openxmlformats.org/officeDocument/2006/relationships" name="Fueling Plan" sheetId="4" r:id="R9722b1f67d67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d, dd mmm yyyy"/>
    <x:numFmt numFmtId="201" formatCode="dd mmm yyyy"/>
    <x:numFmt numFmtId="202" formatCode="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51515"/>
      <x:name val="Carlito"/>
    </x:font>
    <x:font>
      <x:b/>
      <x:sz val="11"/>
      <x:name val="Carlito"/>
    </x:font>
    <x:font>
      <x:sz val="11"/>
      <x:color rgb="FF777777"/>
      <x:name val="Carlito"/>
    </x:font>
    <x:font>
      <x:b/>
      <x:sz val="11"/>
      <x:color rgb="FF111111"/>
      <x:name val="Carlito"/>
    </x:font>
    <x:font>
      <x:b/>
      <x:sz val="16"/>
      <x:color rgb="FFFFFFFF"/>
      <x:name val="Carlito"/>
    </x:font>
    <x:font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C8FF00"/>
      </x:patternFill>
    </x:fill>
    <x:fill>
      <x:patternFill patternType="solid">
        <x:fgColor rgb="FFF2F2F2"/>
      </x:patternFill>
    </x:fill>
    <x:fill>
      <x:patternFill patternType="solid">
        <x:fgColor rgb="FF171717"/>
      </x:patternFill>
    </x:fill>
    <x:fill>
      <x:patternFill patternType="solid">
        <x:fgColor rgb="FFF1F1F1"/>
      </x:patternFill>
    </x:fill>
    <x:fill>
      <x:patternFill patternType="solid">
        <x:fgColor rgb="FFEAF7C7"/>
      </x:patternFill>
    </x:fill>
    <x:fill>
      <x:patternFill patternType="solid">
        <x:fgColor rgb="FFFFF2CC"/>
      </x:patternFill>
    </x:fill>
    <x:fill>
      <x:patternFill patternType="solid">
        <x:fgColor rgb="FFC8FF00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10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>
          <x:bgColor rgb="FFE8F5C8"/>
        </x:patternFill>
      </x:fill>
    </x:dxf>
    <x:dxf>
      <x:font>
        <x:color rgb="FF666666"/>
      </x:font>
      <x:fill>
        <x:patternFill>
          <x:bgColor rgb="FFF0F0F0"/>
        </x:patternFill>
      </x:fill>
    </x:dxf>
    <x:dxf>
      <x:font>
        <x:b/>
        <x:color rgb="FF151515"/>
      </x:font>
      <x:fill>
        <x:patternFill>
          <x:bgColor rgb="FFC8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77d3548d34d64" /><Relationship Type="http://schemas.openxmlformats.org/officeDocument/2006/relationships/theme" Target="/xl/theme/theme1.xml" Id="R0387150feadc448d" /><Relationship Type="http://schemas.openxmlformats.org/officeDocument/2006/relationships/sharedStrings" Target="/xl/sharedStrings.xml" Id="R4616b211989f4612" /><Relationship Type="http://schemas.openxmlformats.org/officeDocument/2006/relationships/worksheet" Target="/xl/worksheets/sheet1.xml" Id="R2d47857fd554402d" /><Relationship Type="http://schemas.openxmlformats.org/officeDocument/2006/relationships/worksheet" Target="/xl/worksheets/sheet2.xml" Id="Ref24af745f1e4bbb" /><Relationship Type="http://schemas.openxmlformats.org/officeDocument/2006/relationships/worksheet" Target="/xl/worksheets/sheet3.xml" Id="R50610c6d420b47dc" /><Relationship Type="http://schemas.openxmlformats.org/officeDocument/2006/relationships/worksheet" Target="/xl/worksheets/sheet4.xml" Id="R9722b1f67d6749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71b6d8ff4847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Long Run Progression to Bangsaen42</a:t>
            </a:r>
          </a:p>
        </c:rich>
      </c:tx>
    </c:title>
    <c:plotArea>
      <c:lineChart>
        <c:grouping val="standard"/>
        <c:ser>
          <c:idx val="0"/>
          <c:order val="0"/>
          <c:tx>
            <c:v>Min</c:v>
          </c:tx>
          <c:marker>
            <c:symbol val="none"/>
          </c:marker>
          <c:cat>
            <c:strRef>
              <c:f>'Long Run Roadmap'!$Q$2:$Q$9</c:f>
              <c:strCache>
                <c:ptCount val="0"/>
              </c:strCache>
            </c:strRef>
          </c:cat>
          <c:val>
            <c:numRef>
              <c:f>'Long Run Roadmap'!$R$2:$R$9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Max</c:v>
          </c:tx>
          <c:marker>
            <c:symbol val="none"/>
          </c:marker>
          <c:cat>
            <c:strRef>
              <c:f>'Long Run Roadmap'!$Q$2:$Q$9</c:f>
              <c:strCache>
                <c:ptCount val="0"/>
              </c:strCache>
            </c:strRef>
          </c:cat>
          <c:val>
            <c:numRef>
              <c:f>'Long Run Roadmap'!$S$2:$S$9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Mid</c:v>
          </c:tx>
          <c:marker>
            <c:symbol val="none"/>
          </c:marker>
          <c:cat>
            <c:strRef>
              <c:f>'Long Run Roadmap'!$Q$2:$Q$9</c:f>
              <c:strCache>
                <c:ptCount val="0"/>
              </c:strCache>
            </c:strRef>
          </c:cat>
          <c:val>
            <c:numRef>
              <c:f>'Long Run Roadmap'!$T$2:$T$9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71b6d8ff4847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58b82d019d7474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4" hidden="0" customWidth="1"/>
    <x:col min="4" max="4" width="39" hidden="0" customWidth="1"/>
    <x:col min="5" max="5" width="30" hidden="0" customWidth="1"/>
    <x:col min="6" max="6" width="34" hidden="0" customWidth="1"/>
    <x:col min="7" max="7" width="42" hidden="0" customWidth="1"/>
  </x:cols>
  <x:sheetData>
    <x:row r="1" ht="21" customHeight="1">
      <x:c r="A1" s="41" t="str">
        <x:v>Date</x:v>
      </x:c>
      <x:c r="B1" s="41" t="str">
        <x:v>Day</x:v>
      </x:c>
      <x:c r="C1" s="41" t="str">
        <x:v>Phase</x:v>
      </x:c>
      <x:c r="D1" s="41" t="str">
        <x:v>Run</x:v>
      </x:c>
      <x:c r="E1" s="41" t="str">
        <x:v>Strength</x:v>
      </x:c>
      <x:c r="F1" s="41" t="str">
        <x:v>Priority / Purpose</x:v>
      </x:c>
      <x:c r="G1" s="41" t="str">
        <x:v>Status / Note</x:v>
      </x:c>
    </x:row>
    <x:row r="2" ht="30" customHeight="1">
      <x:c r="A2" s="13" t="n">
        <x:v>46293</x:v>
      </x:c>
      <x:c r="B2" s="14" t="str">
        <x:v>Mon</x:v>
      </x:c>
      <x:c r="C2" s="14" t="str">
        <x:v>Build → Peak</x:v>
      </x:c>
      <x:c r="D2" s="14" t="str">
        <x:v>Threshold 4×6' @4:30 — stopped in Rep 4</x:v>
      </x:c>
      <x:c r="E2" s="14" t="str">
        <x:v>Upper</x:v>
      </x:c>
      <x:c r="F2" s="14" t="str">
        <x:v>Quality; no make-up</x:v>
      </x:c>
      <x:c r="G2" s="14" t="str">
        <x:v>Completed — ~7.15K / 37:16 active; high fatigue</x:v>
      </x:c>
    </x:row>
    <x:row r="3" ht="30" customHeight="1">
      <x:c r="A3" s="13" t="n">
        <x:v>46294</x:v>
      </x:c>
      <x:c r="B3" s="14" t="str">
        <x:v>Tue</x:v>
      </x:c>
      <x:c r="C3" s="14" t="str">
        <x:v>Peak</x:v>
      </x:c>
      <x:c r="D3" s="14" t="str">
        <x:v>Base 57' @5:40 — 10.08K</x:v>
      </x:c>
      <x:c r="E3" s="14" t="str">
        <x:v>Lower + Core</x:v>
      </x:c>
      <x:c r="F3" s="14" t="str">
        <x:v>Aerobic; internal cost high</x:v>
      </x:c>
      <x:c r="G3" s="14" t="str">
        <x:v>Completed — 57:01 / HR153 / TE3.8; felt unusually hard</x:v>
      </x:c>
    </x:row>
    <x:row r="4" ht="30" customHeight="1">
      <x:c r="A4" s="13" t="n">
        <x:v>46295</x:v>
      </x:c>
      <x:c r="B4" s="14" t="str">
        <x:v>Wed</x:v>
      </x:c>
      <x:c r="C4" s="14" t="str">
        <x:v>Peak</x:v>
      </x:c>
      <x:c r="D4" s="43" t="str">
        <x:v>REST</x:v>
      </x:c>
      <x:c r="E4" s="42" t="str">
        <x:v>REST</x:v>
      </x:c>
      <x:c r="F4" s="42" t="str">
        <x:v>Recovery</x:v>
      </x:c>
      <x:c r="G4" s="42" t="str">
        <x:v>Completed</x:v>
      </x:c>
    </x:row>
    <x:row r="5" ht="30" customHeight="1">
      <x:c r="A5" s="13" t="n">
        <x:v>46296</x:v>
      </x:c>
      <x:c r="B5" s="14" t="str">
        <x:v>Thu</x:v>
      </x:c>
      <x:c r="C5" s="14" t="str">
        <x:v>Peak</x:v>
      </x:c>
      <x:c r="D5" s="14" t="str">
        <x:v>Base 81' @~5:41 — 14.28K</x:v>
      </x:c>
      <x:c r="E5" s="14" t="str">
        <x:v>Full Body</x:v>
      </x:c>
      <x:c r="F5" s="14" t="str">
        <x:v>Long aerobic / recovery check</x:v>
      </x:c>
      <x:c r="G5" s="14" t="str">
        <x:v>Completed — 1:21:03 / HR150 / TE4.0; comfortable, late energy fade</x:v>
      </x:c>
    </x:row>
    <x:row r="6" ht="30" customHeight="1">
      <x:c r="A6" s="13" t="n">
        <x:v>46297</x:v>
      </x:c>
      <x:c r="B6" s="14" t="str">
        <x:v>Fri</x:v>
      </x:c>
      <x:c r="C6" s="14" t="str">
        <x:v>Peak</x:v>
      </x:c>
      <x:c r="D6" s="43" t="str">
        <x:v>REST</x:v>
      </x:c>
      <x:c r="E6" s="42" t="str">
        <x:v>Skipped</x:v>
      </x:c>
      <x:c r="F6" s="42" t="str">
        <x:v>Recovery after poor sleep</x:v>
      </x:c>
      <x:c r="G6" s="42" t="str">
        <x:v>Completed — sleep poor; no run / no strength</x:v>
      </x:c>
    </x:row>
    <x:row r="7" ht="30" customHeight="1">
      <x:c r="A7" s="13" t="n">
        <x:v>46298</x:v>
      </x:c>
      <x:c r="B7" s="14" t="str">
        <x:v>Sat</x:v>
      </x:c>
      <x:c r="C7" s="14" t="str">
        <x:v>Peak</x:v>
      </x:c>
      <x:c r="D7" s="14" t="str">
        <x:v>Base 52' → 10.02K @5:39</x:v>
      </x:c>
      <x:c r="E7" s="14" t="str">
        <x:v>Upper-focused Full Body + Lower maintenance</x:v>
      </x:c>
      <x:c r="F7" s="14" t="str">
        <x:v>Aerobic + light strength</x:v>
      </x:c>
      <x:c r="G7" s="14" t="str">
        <x:v>Completed — 56:34 / HR147 / TE3.6; hot 31–33°C</x:v>
      </x:c>
    </x:row>
    <x:row r="8" ht="30" customHeight="1">
      <x:c r="A8" s="13" t="n">
        <x:v>46299</x:v>
      </x:c>
      <x:c r="B8" s="14" t="str">
        <x:v>Sun</x:v>
      </x:c>
      <x:c r="C8" s="14" t="str">
        <x:v>Peak</x:v>
      </x:c>
      <x:c r="D8" s="43" t="str">
        <x:v>REST</x:v>
      </x:c>
      <x:c r="E8" s="42" t="str">
        <x:v>REST</x:v>
      </x:c>
      <x:c r="F8" s="42" t="str">
        <x:v>Recovery</x:v>
      </x:c>
      <x:c r="G8" s="42" t="str">
        <x:v>Completed</x:v>
      </x:c>
    </x:row>
    <x:row r="9" ht="30" customHeight="1">
      <x:c r="A9" s="13" t="n">
        <x:v>46300</x:v>
      </x:c>
      <x:c r="B9" s="14" t="str">
        <x:v>Mon</x:v>
      </x:c>
      <x:c r="C9" s="14" t="str">
        <x:v>Peak</x:v>
      </x:c>
      <x:c r="D9" s="14" t="str">
        <x:v>Threshold 35' — 15' target @4:30; actual ~4:56 with pause</x:v>
      </x:c>
      <x:c r="E9" s="14" t="str">
        <x:v>Upper</x:v>
      </x:c>
      <x:c r="F9" s="14" t="str">
        <x:v>Quality attempt; do not chase 4:30</x:v>
      </x:c>
      <x:c r="G9" s="14" t="str">
        <x:v>Completed — 6.48K / 35:02 active; calf tightness + hot/humid</x:v>
      </x:c>
    </x:row>
    <x:row r="10" ht="30" customHeight="1">
      <x:c r="A10" s="13" t="n">
        <x:v>46301</x:v>
      </x:c>
      <x:c r="B10" s="14" t="str">
        <x:v>Tue</x:v>
      </x:c>
      <x:c r="C10" s="14" t="str">
        <x:v>Peak</x:v>
      </x:c>
      <x:c r="D10" s="14" t="str">
        <x:v>MP 51' — 9.01K @5:42</x:v>
      </x:c>
      <x:c r="E10" s="14" t="str">
        <x:v>Lower + Core — deliberate deload</x:v>
      </x:c>
      <x:c r="F10" s="14" t="str">
        <x:v>Marathon-pace exposure</x:v>
      </x:c>
      <x:c r="G10" s="14" t="str">
        <x:v>Completed — 51:25 / HR142 / TE3.4; enjoyable, mechanics stable</x:v>
      </x:c>
    </x:row>
    <x:row r="11" ht="30" customHeight="1">
      <x:c r="A11" s="13" t="n">
        <x:v>46302</x:v>
      </x:c>
      <x:c r="B11" s="14" t="str">
        <x:v>Wed</x:v>
      </x:c>
      <x:c r="C11" s="14" t="str">
        <x:v>Peak</x:v>
      </x:c>
      <x:c r="D11" s="43" t="str">
        <x:v>REST</x:v>
      </x:c>
      <x:c r="E11" s="42" t="str">
        <x:v>REST</x:v>
      </x:c>
      <x:c r="F11" s="42" t="str">
        <x:v>Recovery</x:v>
      </x:c>
      <x:c r="G11" s="42" t="str">
        <x:v>Planned</x:v>
      </x:c>
    </x:row>
    <x:row r="12" ht="30" customHeight="1">
      <x:c r="A12" s="13" t="n">
        <x:v>46303</x:v>
      </x:c>
      <x:c r="B12" s="14" t="str">
        <x:v>Thu</x:v>
      </x:c>
      <x:c r="C12" s="14" t="str">
        <x:v>Peak</x:v>
      </x:c>
      <x:c r="D12" s="14" t="str">
        <x:v>Easy / Aerobic Base 40–45' @5:50–6:10</x:v>
      </x:c>
      <x:c r="E12" s="14" t="str">
        <x:v>Full Body — light; lower reduced</x:v>
      </x:c>
      <x:c r="F12" s="14" t="str">
        <x:v>Recover + aerobic maintenance</x:v>
      </x:c>
      <x:c r="G12" s="14" t="str">
        <x:v>Planned — no MP needed after Tue</x:v>
      </x:c>
    </x:row>
    <x:row r="13" ht="30" customHeight="1">
      <x:c r="A13" s="13" t="n">
        <x:v>46304</x:v>
      </x:c>
      <x:c r="B13" s="14" t="str">
        <x:v>Fri</x:v>
      </x:c>
      <x:c r="C13" s="14" t="str">
        <x:v>Peak</x:v>
      </x:c>
      <x:c r="D13" s="14" t="str">
        <x:v>Recovery 20–30' @6:00–6:20</x:v>
      </x:c>
      <x:c r="E13" s="14" t="str">
        <x:v>Chest + Core — light</x:v>
      </x:c>
      <x:c r="F13" s="14" t="str">
        <x:v>Open legs for Saturday LR</x:v>
      </x:c>
      <x:c r="G13" s="14" t="str">
        <x:v>Optional if DOMS/fatigue is clear</x:v>
      </x:c>
    </x:row>
    <x:row r="14" ht="30" customHeight="1">
      <x:c r="A14" s="13" t="n">
        <x:v>46305</x:v>
      </x:c>
      <x:c r="B14" s="14" t="str">
        <x:v>Sat</x:v>
      </x:c>
      <x:c r="C14" s="14" t="str">
        <x:v>Peak</x:v>
      </x:c>
      <x:c r="D14" s="44" t="str">
        <x:v>LONG RUN 17–18K @5:50–6:10</x:v>
      </x:c>
      <x:c r="E14" s="44" t="str">
        <x:v>—</x:v>
      </x:c>
      <x:c r="F14" s="44" t="str">
        <x:v>Endurance + durability + fueling</x:v>
      </x:c>
      <x:c r="G14" s="44" t="str">
        <x:v>Key session — 18K target; 19K only if all green</x:v>
      </x:c>
    </x:row>
    <x:row r="15" ht="30" customHeight="1">
      <x:c r="A15" s="13" t="n">
        <x:v>46306</x:v>
      </x:c>
      <x:c r="B15" s="14" t="str">
        <x:v>Sun</x:v>
      </x:c>
      <x:c r="C15" s="14" t="str">
        <x:v>Peak</x:v>
      </x:c>
      <x:c r="D15" s="43" t="str">
        <x:v>REST</x:v>
      </x:c>
      <x:c r="E15" s="42" t="str">
        <x:v>REST</x:v>
      </x:c>
      <x:c r="F15" s="42" t="str">
        <x:v>Recovery</x:v>
      </x:c>
      <x:c r="G15" s="42" t="str">
        <x:v>Planned</x:v>
      </x:c>
    </x:row>
    <x:row r="16" ht="30" customHeight="1">
      <x:c r="A16" s="13" t="n">
        <x:v>46307</x:v>
      </x:c>
      <x:c r="B16" s="14" t="str">
        <x:v>Mon</x:v>
      </x:c>
      <x:c r="C16" s="14" t="str">
        <x:v>Peak</x:v>
      </x:c>
      <x:c r="D16" s="14" t="str">
        <x:v>Easy 35–45' @5:50–6:10 + optional 4×20s strides</x:v>
      </x:c>
      <x:c r="E16" s="14" t="str">
        <x:v>Upper</x:v>
      </x:c>
      <x:c r="F16" s="14" t="str">
        <x:v>Aerobic recovery; keep legs awake</x:v>
      </x:c>
      <x:c r="G16" s="14" t="str">
        <x:v>No hard threshold</x:v>
      </x:c>
    </x:row>
    <x:row r="17" ht="30" customHeight="1">
      <x:c r="A17" s="13" t="n">
        <x:v>46308</x:v>
      </x:c>
      <x:c r="B17" s="14" t="str">
        <x:v>Tue</x:v>
      </x:c>
      <x:c r="C17" s="14" t="str">
        <x:v>Peak</x:v>
      </x:c>
      <x:c r="D17" s="14" t="str">
        <x:v>Easy / Base 35–45' @5:50–6:10</x:v>
      </x:c>
      <x:c r="E17" s="14" t="str">
        <x:v>Lower + Core ↓</x:v>
      </x:c>
      <x:c r="F17" s="14" t="str">
        <x:v>Aerobic; strength maintenance</x:v>
      </x:c>
      <x:c r="G17" s="14" t="str">
        <x:v>Keep lower-body load controlled</x:v>
      </x:c>
    </x:row>
    <x:row r="18" ht="30" customHeight="1">
      <x:c r="A18" s="13" t="n">
        <x:v>46309</x:v>
      </x:c>
      <x:c r="B18" s="14" t="str">
        <x:v>Wed</x:v>
      </x:c>
      <x:c r="C18" s="14" t="str">
        <x:v>Peak</x:v>
      </x:c>
      <x:c r="D18" s="43" t="str">
        <x:v>REST</x:v>
      </x:c>
      <x:c r="E18" s="42" t="str">
        <x:v>REST</x:v>
      </x:c>
      <x:c r="F18" s="42" t="str">
        <x:v>Recovery</x:v>
      </x:c>
      <x:c r="G18" s="42" t="str">
        <x:v>Planned</x:v>
      </x:c>
    </x:row>
    <x:row r="19" ht="30" customHeight="1">
      <x:c r="A19" s="13" t="n">
        <x:v>46310</x:v>
      </x:c>
      <x:c r="B19" s="14" t="str">
        <x:v>Thu</x:v>
      </x:c>
      <x:c r="C19" s="14" t="str">
        <x:v>Peak</x:v>
      </x:c>
      <x:c r="D19" s="14" t="str">
        <x:v>15' Easy + 20–25' MP @5:35–5:45 + 10–15' Easy</x:v>
      </x:c>
      <x:c r="E19" s="14" t="str">
        <x:v>Full Body ↓</x:v>
      </x:c>
      <x:c r="F19" s="14" t="str">
        <x:v>Marathon-specific quality</x:v>
      </x:c>
      <x:c r="G19" s="14" t="str">
        <x:v>1 controlled quality session</x:v>
      </x:c>
    </x:row>
    <x:row r="20" ht="30" customHeight="1">
      <x:c r="A20" s="13" t="n">
        <x:v>46311</x:v>
      </x:c>
      <x:c r="B20" s="14" t="str">
        <x:v>Fri</x:v>
      </x:c>
      <x:c r="C20" s="14" t="str">
        <x:v>Peak</x:v>
      </x:c>
      <x:c r="D20" s="14" t="str">
        <x:v>Recovery 20–30' @6:00–6:20</x:v>
      </x:c>
      <x:c r="E20" s="14" t="str">
        <x:v>Chest + Core — light</x:v>
      </x:c>
      <x:c r="F20" s="14" t="str">
        <x:v>Fresh legs</x:v>
      </x:c>
      <x:c r="G20" s="14" t="str">
        <x:v>Cut if fatigue is elevated</x:v>
      </x:c>
    </x:row>
    <x:row r="21" ht="30" customHeight="1">
      <x:c r="A21" s="13" t="n">
        <x:v>46312</x:v>
      </x:c>
      <x:c r="B21" s="14" t="str">
        <x:v>Sat</x:v>
      </x:c>
      <x:c r="C21" s="14" t="str">
        <x:v>Peak</x:v>
      </x:c>
      <x:c r="D21" s="44" t="str">
        <x:v>LONG RUN 20–22K @5:50–6:10</x:v>
      </x:c>
      <x:c r="E21" s="44" t="str">
        <x:v>—</x:v>
      </x:c>
      <x:c r="F21" s="44" t="str">
        <x:v>Endurance + fueling</x:v>
      </x:c>
      <x:c r="G21" s="44" t="str">
        <x:v>Optional last 3–4K @5:40–5:50 only if all green</x:v>
      </x:c>
    </x:row>
    <x:row r="22" ht="30" customHeight="1">
      <x:c r="A22" s="13" t="n">
        <x:v>46313</x:v>
      </x:c>
      <x:c r="B22" s="14" t="str">
        <x:v>Sun</x:v>
      </x:c>
      <x:c r="C22" s="14" t="str">
        <x:v>Peak</x:v>
      </x:c>
      <x:c r="D22" s="43" t="str">
        <x:v>REST</x:v>
      </x:c>
      <x:c r="E22" s="42" t="str">
        <x:v>REST</x:v>
      </x:c>
      <x:c r="F22" s="42" t="str">
        <x:v>Recovery</x:v>
      </x:c>
      <x:c r="G22" s="42" t="str">
        <x:v>Planned</x:v>
      </x:c>
    </x:row>
    <x:row r="23" ht="30" customHeight="1">
      <x:c r="A23" s="13" t="n">
        <x:v>46314</x:v>
      </x:c>
      <x:c r="B23" s="14" t="str">
        <x:v>Mon</x:v>
      </x:c>
      <x:c r="C23" s="14" t="str">
        <x:v>Peak</x:v>
      </x:c>
      <x:c r="D23" s="14" t="str">
        <x:v>Easy 35–45' @5:50–6:10</x:v>
      </x:c>
      <x:c r="E23" s="14" t="str">
        <x:v>Upper ↓</x:v>
      </x:c>
      <x:c r="F23" s="14" t="str">
        <x:v>Recover from LR</x:v>
      </x:c>
      <x:c r="G23" s="14" t="str">
        <x:v>No need to force quality</x:v>
      </x:c>
    </x:row>
    <x:row r="24" ht="30" customHeight="1">
      <x:c r="A24" s="13" t="n">
        <x:v>46315</x:v>
      </x:c>
      <x:c r="B24" s="14" t="str">
        <x:v>Tue</x:v>
      </x:c>
      <x:c r="C24" s="14" t="str">
        <x:v>Peak</x:v>
      </x:c>
      <x:c r="D24" s="14" t="str">
        <x:v>Easy / Base 35–45' @5:50–6:10</x:v>
      </x:c>
      <x:c r="E24" s="14" t="str">
        <x:v>Lower + Core ↓↓</x:v>
      </x:c>
      <x:c r="F24" s="14" t="str">
        <x:v>Aerobic + maintain strength</x:v>
      </x:c>
      <x:c r="G24" s="14" t="str">
        <x:v>Avoid failure</x:v>
      </x:c>
    </x:row>
    <x:row r="25" ht="30" customHeight="1">
      <x:c r="A25" s="13" t="n">
        <x:v>46316</x:v>
      </x:c>
      <x:c r="B25" s="14" t="str">
        <x:v>Wed</x:v>
      </x:c>
      <x:c r="C25" s="14" t="str">
        <x:v>Peak</x:v>
      </x:c>
      <x:c r="D25" s="43" t="str">
        <x:v>REST</x:v>
      </x:c>
      <x:c r="E25" s="42" t="str">
        <x:v>REST</x:v>
      </x:c>
      <x:c r="F25" s="42" t="str">
        <x:v>Recovery</x:v>
      </x:c>
      <x:c r="G25" s="42" t="str">
        <x:v>Planned</x:v>
      </x:c>
    </x:row>
    <x:row r="26" ht="30" customHeight="1">
      <x:c r="A26" s="13" t="n">
        <x:v>46317</x:v>
      </x:c>
      <x:c r="B26" s="14" t="str">
        <x:v>Thu</x:v>
      </x:c>
      <x:c r="C26" s="14" t="str">
        <x:v>Peak</x:v>
      </x:c>
      <x:c r="D26" s="14" t="str">
        <x:v>Easy 15' + MP 15–20' @5:35–5:45 + Easy 15'</x:v>
      </x:c>
      <x:c r="E26" s="14" t="str">
        <x:v>Full Body ↓↓</x:v>
      </x:c>
      <x:c r="F26" s="14" t="str">
        <x:v>Race rhythm without excess fatigue</x:v>
      </x:c>
      <x:c r="G26" s="14" t="str">
        <x:v>Protect peak LR</x:v>
      </x:c>
    </x:row>
    <x:row r="27" ht="30" customHeight="1">
      <x:c r="A27" s="13" t="n">
        <x:v>46318</x:v>
      </x:c>
      <x:c r="B27" s="14" t="str">
        <x:v>Fri</x:v>
      </x:c>
      <x:c r="C27" s="14" t="str">
        <x:v>Peak</x:v>
      </x:c>
      <x:c r="D27" s="14" t="str">
        <x:v>Very Easy / Recovery 20–25' @6:00–6:20</x:v>
      </x:c>
      <x:c r="E27" s="14" t="str">
        <x:v>Chest + Core ↓</x:v>
      </x:c>
      <x:c r="F27" s="14" t="str">
        <x:v>Fresh legs</x:v>
      </x:c>
      <x:c r="G27" s="14" t="str">
        <x:v>Short and easy</x:v>
      </x:c>
    </x:row>
    <x:row r="28" ht="30" customHeight="1">
      <x:c r="A28" s="13" t="n">
        <x:v>46319</x:v>
      </x:c>
      <x:c r="B28" s="14" t="str">
        <x:v>Sat</x:v>
      </x:c>
      <x:c r="C28" s="14" t="str">
        <x:v>Peak</x:v>
      </x:c>
      <x:c r="D28" s="44" t="str">
        <x:v>PEAK LONG RUN 24–26K @5:50–6:10</x:v>
      </x:c>
      <x:c r="E28" s="44" t="str">
        <x:v>—</x:v>
      </x:c>
      <x:c r="F28" s="44" t="str">
        <x:v>Peak endurance + full fueling rehearsal</x:v>
      </x:c>
      <x:c r="G28" s="44" t="str">
        <x:v>Optional 27–28K only if every signal is green</x:v>
      </x:c>
    </x:row>
    <x:row r="29" ht="30" customHeight="1">
      <x:c r="A29" s="13" t="n">
        <x:v>46320</x:v>
      </x:c>
      <x:c r="B29" s="14" t="str">
        <x:v>Sun</x:v>
      </x:c>
      <x:c r="C29" s="14" t="str">
        <x:v>Peak</x:v>
      </x:c>
      <x:c r="D29" s="43" t="str">
        <x:v>REST</x:v>
      </x:c>
      <x:c r="E29" s="42" t="str">
        <x:v>REST</x:v>
      </x:c>
      <x:c r="F29" s="42" t="str">
        <x:v>Recovery</x:v>
      </x:c>
      <x:c r="G29" s="42" t="str">
        <x:v>Planned</x:v>
      </x:c>
    </x:row>
    <x:row r="30" ht="30" customHeight="1">
      <x:c r="A30" s="13" t="n">
        <x:v>46321</x:v>
      </x:c>
      <x:c r="B30" s="14" t="str">
        <x:v>Mon</x:v>
      </x:c>
      <x:c r="C30" s="14" t="str">
        <x:v>Peak</x:v>
      </x:c>
      <x:c r="D30" s="14" t="str">
        <x:v>Easy 30–40' @5:55–6:15</x:v>
      </x:c>
      <x:c r="E30" s="14" t="str">
        <x:v>Upper ↓</x:v>
      </x:c>
      <x:c r="F30" s="14" t="str">
        <x:v>Unload after peak LR</x:v>
      </x:c>
      <x:c r="G30" s="14" t="str">
        <x:v>Recovery first</x:v>
      </x:c>
    </x:row>
    <x:row r="31" ht="30" customHeight="1">
      <x:c r="A31" s="13" t="n">
        <x:v>46322</x:v>
      </x:c>
      <x:c r="B31" s="14" t="str">
        <x:v>Tue</x:v>
      </x:c>
      <x:c r="C31" s="14" t="str">
        <x:v>Peak</x:v>
      </x:c>
      <x:c r="D31" s="14" t="str">
        <x:v>Easy 30–40' @5:55–6:15</x:v>
      </x:c>
      <x:c r="E31" s="14" t="str">
        <x:v>Lower + Core — very light</x:v>
      </x:c>
      <x:c r="F31" s="14" t="str">
        <x:v>Maintain only</x:v>
      </x:c>
      <x:c r="G31" s="14" t="str">
        <x:v>No DOMS goal</x:v>
      </x:c>
    </x:row>
    <x:row r="32" ht="30" customHeight="1">
      <x:c r="A32" s="13" t="n">
        <x:v>46323</x:v>
      </x:c>
      <x:c r="B32" s="14" t="str">
        <x:v>Wed</x:v>
      </x:c>
      <x:c r="C32" s="14" t="str">
        <x:v>Peak</x:v>
      </x:c>
      <x:c r="D32" s="43" t="str">
        <x:v>REST</x:v>
      </x:c>
      <x:c r="E32" s="42" t="str">
        <x:v>REST</x:v>
      </x:c>
      <x:c r="F32" s="42" t="str">
        <x:v>Recovery</x:v>
      </x:c>
      <x:c r="G32" s="42" t="str">
        <x:v>Planned</x:v>
      </x:c>
    </x:row>
    <x:row r="33" ht="30" customHeight="1">
      <x:c r="A33" s="13" t="n">
        <x:v>46324</x:v>
      </x:c>
      <x:c r="B33" s="14" t="str">
        <x:v>Thu</x:v>
      </x:c>
      <x:c r="C33" s="14" t="str">
        <x:v>Peak</x:v>
      </x:c>
      <x:c r="D33" s="14" t="str">
        <x:v>Easy 35–45' + 10–15' MP max if fresh</x:v>
      </x:c>
      <x:c r="E33" s="14" t="str">
        <x:v>Full Body — very light</x:v>
      </x:c>
      <x:c r="F33" s="14" t="str">
        <x:v>Small race-specific touch</x:v>
      </x:c>
      <x:c r="G33" s="14" t="str">
        <x:v>Skip MP if legs are not fresh</x:v>
      </x:c>
    </x:row>
    <x:row r="34" ht="30" customHeight="1">
      <x:c r="A34" s="13" t="n">
        <x:v>46325</x:v>
      </x:c>
      <x:c r="B34" s="14" t="str">
        <x:v>Fri</x:v>
      </x:c>
      <x:c r="C34" s="14" t="str">
        <x:v>Peak</x:v>
      </x:c>
      <x:c r="D34" s="14" t="str">
        <x:v>Very Easy 20–25' @6:00–6:20</x:v>
      </x:c>
      <x:c r="E34" s="14" t="str">
        <x:v>Chest + Core ↓</x:v>
      </x:c>
      <x:c r="F34" s="14" t="str">
        <x:v>Fresh legs</x:v>
      </x:c>
      <x:c r="G34" s="14" t="str">
        <x:v>Short</x:v>
      </x:c>
    </x:row>
    <x:row r="35" ht="30" customHeight="1">
      <x:c r="A35" s="13" t="n">
        <x:v>46326</x:v>
      </x:c>
      <x:c r="B35" s="14" t="str">
        <x:v>Sat</x:v>
      </x:c>
      <x:c r="C35" s="14" t="str">
        <x:v>Peak</x:v>
      </x:c>
      <x:c r="D35" s="44" t="str">
        <x:v>CUTBACK LONG RUN 18–20K Easy @5:55–6:15</x:v>
      </x:c>
      <x:c r="E35" s="44" t="str">
        <x:v>—</x:v>
      </x:c>
      <x:c r="F35" s="44" t="str">
        <x:v>Consolidate fitness; enter taper fresh</x:v>
      </x:c>
      <x:c r="G35" s="44" t="str">
        <x:v>No distance chasing</x:v>
      </x:c>
    </x:row>
    <x:row r="36" ht="30" customHeight="1">
      <x:c r="A36" s="13" t="n">
        <x:v>46327</x:v>
      </x:c>
      <x:c r="B36" s="14" t="str">
        <x:v>Sun</x:v>
      </x:c>
      <x:c r="C36" s="45" t="str">
        <x:v>Taper</x:v>
      </x:c>
      <x:c r="D36" s="43" t="str">
        <x:v>REST</x:v>
      </x:c>
      <x:c r="E36" s="42" t="str">
        <x:v>REST</x:v>
      </x:c>
      <x:c r="F36" s="42" t="str">
        <x:v>TAPER START — freshness first</x:v>
      </x:c>
      <x:c r="G36" s="42" t="str">
        <x:v>2-week taper begins</x:v>
      </x:c>
    </x:row>
    <x:row r="37" ht="30" customHeight="1">
      <x:c r="A37" s="13" t="n">
        <x:v>46328</x:v>
      </x:c>
      <x:c r="B37" s="14" t="str">
        <x:v>Mon</x:v>
      </x:c>
      <x:c r="C37" s="45" t="str">
        <x:v>Taper</x:v>
      </x:c>
      <x:c r="D37" s="14" t="str">
        <x:v>Easy 30–35' @5:55–6:15 + 4×15–20s strides</x:v>
      </x:c>
      <x:c r="E37" s="14" t="str">
        <x:v>Upper very light</x:v>
      </x:c>
      <x:c r="F37" s="14" t="str">
        <x:v>Reduce volume; keep rhythm</x:v>
      </x:c>
      <x:c r="G37" s="14" t="str">
        <x:v>~35–45% below peak-week volume</x:v>
      </x:c>
    </x:row>
    <x:row r="38" ht="30" customHeight="1">
      <x:c r="A38" s="13" t="n">
        <x:v>46329</x:v>
      </x:c>
      <x:c r="B38" s="14" t="str">
        <x:v>Tue</x:v>
      </x:c>
      <x:c r="C38" s="45" t="str">
        <x:v>Taper</x:v>
      </x:c>
      <x:c r="D38" s="14" t="str">
        <x:v>Easy 30–35' @5:55–6:15</x:v>
      </x:c>
      <x:c r="E38" s="14" t="str">
        <x:v>No heavy Lower</x:v>
      </x:c>
      <x:c r="F38" s="14" t="str">
        <x:v>Freshness</x:v>
      </x:c>
      <x:c r="G38" s="14" t="str">
        <x:v>Strength maintenance only</x:v>
      </x:c>
    </x:row>
    <x:row r="39" ht="30" customHeight="1">
      <x:c r="A39" s="13" t="n">
        <x:v>46330</x:v>
      </x:c>
      <x:c r="B39" s="14" t="str">
        <x:v>Wed</x:v>
      </x:c>
      <x:c r="C39" s="45" t="str">
        <x:v>Taper</x:v>
      </x:c>
      <x:c r="D39" s="43" t="str">
        <x:v>REST</x:v>
      </x:c>
      <x:c r="E39" s="42" t="str">
        <x:v>REST</x:v>
      </x:c>
      <x:c r="F39" s="42" t="str">
        <x:v>Recovery</x:v>
      </x:c>
      <x:c r="G39" s="42" t="str">
        <x:v>Planned</x:v>
      </x:c>
    </x:row>
    <x:row r="40" ht="30" customHeight="1">
      <x:c r="A40" s="13" t="n">
        <x:v>46331</x:v>
      </x:c>
      <x:c r="B40" s="14" t="str">
        <x:v>Thu</x:v>
      </x:c>
      <x:c r="C40" s="45" t="str">
        <x:v>Taper</x:v>
      </x:c>
      <x:c r="D40" s="14" t="str">
        <x:v>35–40' total incl. 10–12' MP @5:35–5:45</x:v>
      </x:c>
      <x:c r="E40" s="14" t="str">
        <x:v>Mobility / very light Full Body only</x:v>
      </x:c>
      <x:c r="F40" s="14" t="str">
        <x:v>Maintain marathon rhythm</x:v>
      </x:c>
      <x:c r="G40" s="14" t="str">
        <x:v>Finish wanting more</x:v>
      </x:c>
    </x:row>
    <x:row r="41" ht="30" customHeight="1">
      <x:c r="A41" s="13" t="n">
        <x:v>46332</x:v>
      </x:c>
      <x:c r="B41" s="14" t="str">
        <x:v>Fri</x:v>
      </x:c>
      <x:c r="C41" s="45" t="str">
        <x:v>Taper</x:v>
      </x:c>
      <x:c r="D41" s="14" t="str">
        <x:v>REST or Recovery 20–25' @6:05–6:25</x:v>
      </x:c>
      <x:c r="E41" s="14" t="str">
        <x:v>Skip heavy strength</x:v>
      </x:c>
      <x:c r="F41" s="14" t="str">
        <x:v>Freshness</x:v>
      </x:c>
      <x:c r="G41" s="14" t="str">
        <x:v>Optional run only</x:v>
      </x:c>
    </x:row>
    <x:row r="42" ht="30" customHeight="1">
      <x:c r="A42" s="13" t="n">
        <x:v>46333</x:v>
      </x:c>
      <x:c r="B42" s="14" t="str">
        <x:v>Sat</x:v>
      </x:c>
      <x:c r="C42" s="45" t="str">
        <x:v>Taper</x:v>
      </x:c>
      <x:c r="D42" s="44" t="str">
        <x:v>TAPER LONG RUN 12–14K Easy @5:55–6:15</x:v>
      </x:c>
      <x:c r="E42" s="44" t="str">
        <x:v>—</x:v>
      </x:c>
      <x:c r="F42" s="44" t="str">
        <x:v>Maintain endurance without fatigue</x:v>
      </x:c>
      <x:c r="G42" s="44" t="str">
        <x:v>No fast finish required</x:v>
      </x:c>
    </x:row>
    <x:row r="43" ht="30" customHeight="1">
      <x:c r="A43" s="13" t="n">
        <x:v>46334</x:v>
      </x:c>
      <x:c r="B43" s="14" t="str">
        <x:v>Sun</x:v>
      </x:c>
      <x:c r="C43" s="45" t="str">
        <x:v>Taper</x:v>
      </x:c>
      <x:c r="D43" s="43" t="str">
        <x:v>REST</x:v>
      </x:c>
      <x:c r="E43" s="42" t="str">
        <x:v>REST</x:v>
      </x:c>
      <x:c r="F43" s="42" t="str">
        <x:v>Recovery</x:v>
      </x:c>
      <x:c r="G43" s="42" t="str">
        <x:v>Planned</x:v>
      </x:c>
    </x:row>
    <x:row r="44" ht="30" customHeight="1">
      <x:c r="A44" s="13" t="n">
        <x:v>46335</x:v>
      </x:c>
      <x:c r="B44" s="14" t="str">
        <x:v>Mon</x:v>
      </x:c>
      <x:c r="C44" s="14" t="str">
        <x:v>Race Week</x:v>
      </x:c>
      <x:c r="D44" s="14" t="str">
        <x:v>Easy 25–30' @5:55–6:15 + 4×15s strides</x:v>
      </x:c>
      <x:c r="E44" s="14" t="str">
        <x:v>Upper very light or skip</x:v>
      </x:c>
      <x:c r="F44" s="14" t="str">
        <x:v>Keep legs awake</x:v>
      </x:c>
      <x:c r="G44" s="14" t="str">
        <x:v>Very low fatigue</x:v>
      </x:c>
    </x:row>
    <x:row r="45" ht="30" customHeight="1">
      <x:c r="A45" s="13" t="n">
        <x:v>46336</x:v>
      </x:c>
      <x:c r="B45" s="14" t="str">
        <x:v>Tue</x:v>
      </x:c>
      <x:c r="C45" s="14" t="str">
        <x:v>Race Week</x:v>
      </x:c>
      <x:c r="D45" s="14" t="str">
        <x:v>Easy 25–30' @6:00–6:20</x:v>
      </x:c>
      <x:c r="E45" s="14" t="str">
        <x:v>No Lower</x:v>
      </x:c>
      <x:c r="F45" s="14" t="str">
        <x:v>Freshness</x:v>
      </x:c>
      <x:c r="G45" s="14" t="str">
        <x:v>Easy only</x:v>
      </x:c>
    </x:row>
    <x:row r="46" ht="30" customHeight="1">
      <x:c r="A46" s="13" t="n">
        <x:v>46337</x:v>
      </x:c>
      <x:c r="B46" s="14" t="str">
        <x:v>Wed</x:v>
      </x:c>
      <x:c r="C46" s="14" t="str">
        <x:v>Race Week</x:v>
      </x:c>
      <x:c r="D46" s="43" t="str">
        <x:v>REST</x:v>
      </x:c>
      <x:c r="E46" s="42" t="str">
        <x:v>REST</x:v>
      </x:c>
      <x:c r="F46" s="42" t="str">
        <x:v>Recovery</x:v>
      </x:c>
      <x:c r="G46" s="42" t="str">
        <x:v>Planned</x:v>
      </x:c>
    </x:row>
    <x:row r="47" ht="30" customHeight="1">
      <x:c r="A47" s="13" t="n">
        <x:v>46338</x:v>
      </x:c>
      <x:c r="B47" s="14" t="str">
        <x:v>Thu</x:v>
      </x:c>
      <x:c r="C47" s="14" t="str">
        <x:v>Race Week</x:v>
      </x:c>
      <x:c r="D47" s="14" t="str">
        <x:v>20–25' Easy + 5–8' MP feel @~5:40</x:v>
      </x:c>
      <x:c r="E47" s="14" t="str">
        <x:v>Skip heavy Full Body</x:v>
      </x:c>
      <x:c r="F47" s="14" t="str">
        <x:v>Race rhythm</x:v>
      </x:c>
      <x:c r="G47" s="14" t="str">
        <x:v>Stop while fresh</x:v>
      </x:c>
    </x:row>
    <x:row r="48" ht="30" customHeight="1">
      <x:c r="A48" s="13" t="n">
        <x:v>46339</x:v>
      </x:c>
      <x:c r="B48" s="14" t="str">
        <x:v>Fri</x:v>
      </x:c>
      <x:c r="C48" s="14" t="str">
        <x:v>Race Week</x:v>
      </x:c>
      <x:c r="D48" s="43" t="str">
        <x:v>REST</x:v>
      </x:c>
      <x:c r="E48" s="42" t="str">
        <x:v>Skip</x:v>
      </x:c>
      <x:c r="F48" s="42" t="str">
        <x:v>Freshness</x:v>
      </x:c>
      <x:c r="G48" s="42" t="str">
        <x:v>Planned</x:v>
      </x:c>
    </x:row>
    <x:row r="49" ht="30" customHeight="1">
      <x:c r="A49" s="13" t="n">
        <x:v>46340</x:v>
      </x:c>
      <x:c r="B49" s="14" t="str">
        <x:v>Sat</x:v>
      </x:c>
      <x:c r="C49" s="14" t="str">
        <x:v>Race Week</x:v>
      </x:c>
      <x:c r="D49" s="14" t="str">
        <x:v>REST or 15–20' shakeout only if it helps</x:v>
      </x:c>
      <x:c r="E49" s="14" t="str">
        <x:v>—</x:v>
      </x:c>
      <x:c r="F49" s="14" t="str">
        <x:v>Race prep</x:v>
      </x:c>
      <x:c r="G49" s="14" t="str">
        <x:v>No fatigue; early night</x:v>
      </x:c>
    </x:row>
    <x:row r="50" ht="30" customHeight="1">
      <x:c r="A50" s="13" t="n">
        <x:v>46341</x:v>
      </x:c>
      <x:c r="B50" s="14" t="str">
        <x:v>Sun</x:v>
      </x:c>
      <x:c r="C50" s="47" t="str">
        <x:v>RACE</x:v>
      </x:c>
      <x:c r="D50" s="47" t="str">
        <x:v>BANGSAEN42 — 42.195K</x:v>
      </x:c>
      <x:c r="E50" s="47" t="str">
        <x:v>—</x:v>
      </x:c>
      <x:c r="F50" s="47" t="str">
        <x:v>Sub-4 goal (~5:41/km)</x:v>
      </x:c>
      <x:c r="G50" s="47" t="str">
        <x:v>RACE DAY</x:v>
      </x:c>
    </x:row>
  </x:sheetData>
  <x:conditionalFormatting sqref="D2:D50">
    <x:cfRule type="expression" dxfId="0" priority="1">
      <x:formula>ISNUMBER(SEARCH("LONG",D2))</x:formula>
    </x:cfRule>
    <x:cfRule type="expression" dxfId="1" priority="2">
      <x:formula>ISNUMBER(SEARCH("REST",D2))</x:formula>
    </x:cfRule>
    <x:cfRule type="expression" dxfId="2" priority="3">
      <x:formula>ISNUMBER(SEARCH("BANGSAEN42",D2))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</x:cols>
  <x:sheetData>
    <x:row r="1">
      <x:c r="A1" s="41" t="str">
        <x:v>Date</x:v>
      </x:c>
      <x:c r="B1" s="41" t="str">
        <x:v>Target Min (km)</x:v>
      </x:c>
      <x:c r="C1" s="41" t="str">
        <x:v>Target Max (km)</x:v>
      </x:c>
      <x:c r="D1" s="41" t="str">
        <x:v>Planning Midpoint (km)</x:v>
      </x:c>
      <x:c r="E1" s="41" t="str">
        <x:v>Role</x:v>
      </x:c>
      <x:c r="Q1" s="62" t="str">
        <x:v>Date</x:v>
      </x:c>
      <x:c r="R1" s="62" t="str">
        <x:v>Min</x:v>
      </x:c>
      <x:c r="S1" s="62" t="str">
        <x:v>Max</x:v>
      </x:c>
      <x:c r="T1" s="62" t="str">
        <x:v>Mid</x:v>
      </x:c>
    </x:row>
    <x:row r="2" ht="28" customHeight="1">
      <x:c r="A2" s="13" t="n">
        <x:v>46291</x:v>
      </x:c>
      <x:c r="B2" s="24" t="n">
        <x:v>14.12</x:v>
      </x:c>
      <x:c r="C2" s="24" t="n">
        <x:v>14.12</x:v>
      </x:c>
      <x:c r="D2" s="24" t="n">
        <x:f>(B2+C2)/2</x:f>
        <x:v>14.12</x:v>
      </x:c>
      <x:c r="E2" s="14" t="str">
        <x:v>Completed baseline LR</x:v>
      </x:c>
      <x:c r="Q2" s="62" t="str">
        <x:v>26 Sep</x:v>
      </x:c>
      <x:c r="R2" s="62" t="n">
        <x:v>14.12</x:v>
      </x:c>
      <x:c r="S2" s="62" t="n">
        <x:v>14.12</x:v>
      </x:c>
      <x:c r="T2" s="62" t="n">
        <x:v>14.12</x:v>
      </x:c>
    </x:row>
    <x:row r="3" ht="28" customHeight="1">
      <x:c r="A3" s="13" t="n">
        <x:v>46298</x:v>
      </x:c>
      <x:c r="B3" s="24" t="n">
        <x:v>10.02</x:v>
      </x:c>
      <x:c r="C3" s="24" t="n">
        <x:v>10.02</x:v>
      </x:c>
      <x:c r="D3" s="24" t="n">
        <x:f>(B3+C3)/2</x:f>
        <x:v>10.02</x:v>
      </x:c>
      <x:c r="E3" s="14" t="str">
        <x:v>Reduced week — completed 10.02K; Thu 1 Oct was 14.28K aerobic</x:v>
      </x:c>
      <x:c r="Q3" s="62" t="str">
        <x:v>03 Oct</x:v>
      </x:c>
      <x:c r="R3" s="62" t="n">
        <x:v>10.02</x:v>
      </x:c>
      <x:c r="S3" s="62" t="n">
        <x:v>10.02</x:v>
      </x:c>
      <x:c r="T3" s="62" t="n">
        <x:v>10.02</x:v>
      </x:c>
    </x:row>
    <x:row r="4" ht="28" customHeight="1">
      <x:c r="A4" s="13" t="n">
        <x:v>46305</x:v>
      </x:c>
      <x:c r="B4" s="24" t="n">
        <x:v>17</x:v>
      </x:c>
      <x:c r="C4" s="24" t="n">
        <x:v>18</x:v>
      </x:c>
      <x:c r="D4" s="24" t="n">
        <x:f>(B4+C4)/2</x:f>
        <x:v>17.5</x:v>
      </x:c>
      <x:c r="E4" s="14" t="str">
        <x:v>Rebuild LR + fueling rehearsal</x:v>
      </x:c>
      <x:c r="Q4" s="62" t="str">
        <x:v>10 Oct</x:v>
      </x:c>
      <x:c r="R4" s="62" t="n">
        <x:v>17</x:v>
      </x:c>
      <x:c r="S4" s="62" t="n">
        <x:v>18</x:v>
      </x:c>
      <x:c r="T4" s="62" t="n">
        <x:v>17.5</x:v>
      </x:c>
    </x:row>
    <x:row r="5" ht="28" customHeight="1">
      <x:c r="A5" s="13" t="n">
        <x:v>46312</x:v>
      </x:c>
      <x:c r="B5" s="24" t="n">
        <x:v>20</x:v>
      </x:c>
      <x:c r="C5" s="24" t="n">
        <x:v>22</x:v>
      </x:c>
      <x:c r="D5" s="24" t="n">
        <x:f>(B5+C5)/2</x:f>
        <x:v>21</x:v>
      </x:c>
      <x:c r="E5" s="14" t="str">
        <x:v>Endurance + fueling</x:v>
      </x:c>
      <x:c r="Q5" s="62" t="str">
        <x:v>17 Oct</x:v>
      </x:c>
      <x:c r="R5" s="62" t="n">
        <x:v>20</x:v>
      </x:c>
      <x:c r="S5" s="62" t="n">
        <x:v>22</x:v>
      </x:c>
      <x:c r="T5" s="62" t="n">
        <x:v>21</x:v>
      </x:c>
    </x:row>
    <x:row r="6" ht="28" customHeight="1">
      <x:c r="A6" s="13" t="n">
        <x:v>46319</x:v>
      </x:c>
      <x:c r="B6" s="24" t="n">
        <x:v>24</x:v>
      </x:c>
      <x:c r="C6" s="24" t="n">
        <x:v>26</x:v>
      </x:c>
      <x:c r="D6" s="24" t="n">
        <x:f>(B6+C6)/2</x:f>
        <x:v>25</x:v>
      </x:c>
      <x:c r="E6" s="14" t="str">
        <x:v>Peak LR; optional 27–28K only if all green</x:v>
      </x:c>
      <x:c r="Q6" s="62" t="str">
        <x:v>24 Oct</x:v>
      </x:c>
      <x:c r="R6" s="62" t="n">
        <x:v>24</x:v>
      </x:c>
      <x:c r="S6" s="62" t="n">
        <x:v>26</x:v>
      </x:c>
      <x:c r="T6" s="62" t="n">
        <x:v>25</x:v>
      </x:c>
    </x:row>
    <x:row r="7" ht="28" customHeight="1">
      <x:c r="A7" s="13" t="n">
        <x:v>46326</x:v>
      </x:c>
      <x:c r="B7" s="24" t="n">
        <x:v>18</x:v>
      </x:c>
      <x:c r="C7" s="24" t="n">
        <x:v>20</x:v>
      </x:c>
      <x:c r="D7" s="24" t="n">
        <x:f>(B7+C7)/2</x:f>
        <x:v>19</x:v>
      </x:c>
      <x:c r="E7" s="14" t="str">
        <x:v>Cutback LR; enter 2-week taper fresh</x:v>
      </x:c>
      <x:c r="Q7" s="62" t="str">
        <x:v>31 Oct</x:v>
      </x:c>
      <x:c r="R7" s="62" t="n">
        <x:v>18</x:v>
      </x:c>
      <x:c r="S7" s="62" t="n">
        <x:v>20</x:v>
      </x:c>
      <x:c r="T7" s="62" t="n">
        <x:v>19</x:v>
      </x:c>
    </x:row>
    <x:row r="8" ht="28" customHeight="1">
      <x:c r="A8" s="13" t="n">
        <x:v>46333</x:v>
      </x:c>
      <x:c r="B8" s="24" t="n">
        <x:v>12</x:v>
      </x:c>
      <x:c r="C8" s="24" t="n">
        <x:v>14</x:v>
      </x:c>
      <x:c r="D8" s="24" t="n">
        <x:f>(B8+C8)/2</x:f>
        <x:v>13</x:v>
      </x:c>
      <x:c r="E8" s="14" t="str">
        <x:v>Taper LR; easy only</x:v>
      </x:c>
      <x:c r="Q8" s="62" t="str">
        <x:v>07 Nov</x:v>
      </x:c>
      <x:c r="R8" s="62" t="n">
        <x:v>12</x:v>
      </x:c>
      <x:c r="S8" s="62" t="n">
        <x:v>14</x:v>
      </x:c>
      <x:c r="T8" s="62" t="n">
        <x:v>13</x:v>
      </x:c>
    </x:row>
    <x:row r="9" ht="28" customHeight="1">
      <x:c r="A9" s="13" t="n">
        <x:v>46341</x:v>
      </x:c>
      <x:c r="B9" s="24" t="n">
        <x:v>42.195</x:v>
      </x:c>
      <x:c r="C9" s="24" t="n">
        <x:v>42.195</x:v>
      </x:c>
      <x:c r="D9" s="24" t="n">
        <x:f>(B9+C9)/2</x:f>
        <x:v>42.195</x:v>
      </x:c>
      <x:c r="E9" s="14" t="str">
        <x:v>Race day</x:v>
      </x:c>
      <x:c r="Q9" s="62" t="str">
        <x:v>15 Nov</x:v>
      </x:c>
      <x:c r="R9" s="62" t="n">
        <x:v>42.195</x:v>
      </x:c>
      <x:c r="S9" s="62" t="n">
        <x:v>42.195</x:v>
      </x:c>
      <x:c r="T9" s="62" t="n">
        <x:v>42.195</x:v>
      </x:c>
    </x:row>
  </x:sheetData>
  <x:pageMargins left="0.7" right="0.7" top="0.75" bottom="0.75" header="0.3" footer="0.3"/>
  <x:drawing xmlns:r="http://schemas.openxmlformats.org/officeDocument/2006/relationships" r:id="R758b82d019d7474b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24" customHeight="1">
      <x:c r="A1" s="53" t="str">
        <x:v>BS42 MASTER PLAN — GUARDRAILS</x:v>
      </x:c>
      <x:c r="B1" s="41" t="str"/>
    </x:row>
    <x:row r="2" ht="34" customHeight="1">
      <x:c r="A2" s="39" t="str">
        <x:v>Goal</x:v>
      </x:c>
      <x:c r="B2" s="14" t="str">
        <x:v>Bangsaen42 — 15 Nov 2026 — Sub-4 (~5:41/km)</x:v>
      </x:c>
    </x:row>
    <x:row r="3" ht="34" customHeight="1">
      <x:c r="A3" s="39" t="str">
        <x:v>Source of truth</x:v>
      </x:c>
      <x:c r="B3" s="14" t="str">
        <x:v>MASTER PLAN controls structure. Garmin is telemetry / feedback only; do not follow recalculations automatically.</x:v>
      </x:c>
    </x:row>
    <x:row r="4" ht="34" customHeight="1">
      <x:c r="A4" s="39" t="str">
        <x:v>Weekly baseline</x:v>
      </x:c>
      <x:c r="B4" s="14" t="str">
        <x:v>Rest: Wed + Sun | Long Run: Sat | Running usually Mon/Tue/Thu/Fri/Sat</x:v>
      </x:c>
    </x:row>
    <x:row r="5" ht="34" customHeight="1">
      <x:c r="A5" s="39" t="str">
        <x:v>Strength split</x:v>
      </x:c>
      <x:c r="B5" s="14" t="str">
        <x:v>Mon Upper | Tue Lower+Core | Thu Full Body | Fri Chest+Core; reduce lower-body load as LR grows</x:v>
      </x:c>
    </x:row>
    <x:row r="6" ht="34" customHeight="1">
      <x:c r="A6" s="39" t="str">
        <x:v>Priority order</x:v>
      </x:c>
      <x:c r="B6" s="14" t="str">
        <x:v>1) Long Run  2) Aerobic volume  3) Marathon-specific / MP  4) Threshold / Speed</x:v>
      </x:c>
    </x:row>
    <x:row r="7" ht="34" customHeight="1">
      <x:c r="A7" s="39" t="str">
        <x:v>Pace guide</x:v>
      </x:c>
      <x:c r="B7" s="14" t="str">
        <x:v>Recovery 6:00–6:20 | Easy 5:50–6:10 | Aerobic Base 5:45–6:05 | MP 5:35–5:45 (goal ~5:41). Garmin 5:40 ≈ MP, not generic Easy.</x:v>
      </x:c>
    </x:row>
    <x:row r="8" ht="34" customHeight="1">
      <x:c r="A8" s="39" t="str">
        <x:v>Threshold rule</x:v>
      </x:c>
      <x:c r="B8" s="14" t="str">
        <x:v>No fixed obsession with 4:30/km. Max ~1 controlled quality session/week and only if it does not compromise LR.</x:v>
      </x:c>
    </x:row>
    <x:row r="9" ht="34" customHeight="1">
      <x:c r="A9" s="39" t="str">
        <x:v>Post-rest stiffness rule</x:v>
      </x:c>
      <x:c r="B9" s="14" t="str">
        <x:v>Warm-up is condition-based: 15–20 min easy + mobility/strides if needed before quality; downgrade if legs do not open.</x:v>
      </x:c>
    </x:row>
    <x:row r="10" ht="34" customHeight="1">
      <x:c r="A10" s="39" t="str">
        <x:v>Long-run rule</x:v>
      </x:c>
      <x:c r="B10" s="14" t="str">
        <x:v>Target ranges are guardrails, not debts. Stop at the planned stimulus; do not chase round numbers.</x:v>
      </x:c>
    </x:row>
    <x:row r="11" ht="34" customHeight="1">
      <x:c r="A11" s="39" t="str">
        <x:v>Peak LR</x:v>
      </x:c>
      <x:c r="B11" s="14" t="str">
        <x:v>24 Oct: target 24–26K; optional 27–28K only if every signal is green. No need to chase 30K.</x:v>
      </x:c>
    </x:row>
    <x:row r="12" ht="34" customHeight="1">
      <x:c r="A12" s="39" t="str">
        <x:v>Cutback LR</x:v>
      </x:c>
      <x:c r="B12" s="14" t="str">
        <x:v>31 Oct: 18–20K easy, then taper starts 1 Nov.</x:v>
      </x:c>
    </x:row>
    <x:row r="13" ht="34" customHeight="1">
      <x:c r="A13" s="39" t="str">
        <x:v>Taper</x:v>
      </x:c>
      <x:c r="B13" s="14" t="str">
        <x:v>1–14 Nov = 2 full weeks. First week volume ~35–45% below peak; race week lower again. Freshness is priority #1.</x:v>
      </x:c>
    </x:row>
    <x:row r="14" ht="34" customHeight="1">
      <x:c r="A14" s="55" t="str">
        <x:v>Strength taper</x:v>
      </x:c>
      <x:c r="B14" s="14" t="str">
        <x:v>No lower-body failure. During taper: maintenance only; race week no heavy Lower / Full Body.</x:v>
      </x:c>
    </x:row>
    <x:row r="15" ht="34" customHeight="1">
      <x:c r="A15" s="55" t="str">
        <x:v>Fueling principle</x:v>
      </x:c>
      <x:c r="B15" s="14" t="str">
        <x:v>Practice fueling on LR. For ~90+ min runs, build toward ~30–60 g carbohydrate/hour as tolerated.</x:v>
      </x:c>
    </x:row>
    <x:row r="16" ht="34" customHeight="1">
      <x:c r="A16" s="55" t="str">
        <x:v>Safety / recovery</x:v>
      </x:c>
      <x:c r="B16" s="14" t="str">
        <x:v>Downgrade or stop for persistent unusual heaviness, focal pain, abnormal breathing, illness symptoms, or recovery breakdown.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6" customHeight="1">
      <x:c r="A1" s="41" t="str">
        <x:v>SATURDAY LONG RUN FUELING — 10 OCT 2026</x:v>
      </x:c>
      <x:c r="B1" s="41" t="str"/>
    </x:row>
    <x:row r="2" ht="30" customHeight="1">
      <x:c r="A2" s="55" t="str">
        <x:v>Target</x:v>
      </x:c>
      <x:c r="B2" s="14" t="str">
        <x:v>17–18K @5:50–6:10/km (~1:40–1:50)</x:v>
      </x:c>
    </x:row>
    <x:row r="3" ht="30" customHeight="1">
      <x:c r="A3" s="55" t="str">
        <x:v>Main goal</x:v>
      </x:c>
      <x:c r="B3" s="14" t="str">
        <x:v>Endurance + durability + GI/fueling rehearsal; not a pace test</x:v>
      </x:c>
    </x:row>
    <x:row r="4" ht="30" customHeight="1">
      <x:c r="A4" s="55" t="str">
        <x:v>30–45 min pre-run</x:v>
      </x:c>
      <x:c r="B4" s="14" t="str">
        <x:v>ProEngy 1 sachet — 46 g carb + 300–500 ml water</x:v>
      </x:c>
    </x:row>
    <x:row r="5" ht="30" customHeight="1">
      <x:c r="A5" s="55" t="str">
        <x:v>~10 min pre-run</x:v>
      </x:c>
      <x:c r="B5" s="14" t="str">
        <x:v>PREVO electrolyte 1 capsule — 150 mg sodium</x:v>
      </x:c>
    </x:row>
    <x:row r="6" ht="30" customHeight="1">
      <x:c r="A6" s="55" t="str">
        <x:v>KM 8 (~45–50 min)</x:v>
      </x:c>
      <x:c r="B6" s="14" t="str">
        <x:v>AminoVITAL red — 28 g carb + 140 mg sodium; take with water</x:v>
      </x:c>
    </x:row>
    <x:row r="7" ht="30" customHeight="1">
      <x:c r="A7" s="55" t="str">
        <x:v>45–60 min</x:v>
      </x:c>
      <x:c r="B7" s="14" t="str">
        <x:v>PREVO electrolyte 1 capsule — +150 mg sodium; take with water</x:v>
      </x:c>
    </x:row>
    <x:row r="8" ht="30" customHeight="1">
      <x:c r="A8" s="55" t="str">
        <x:v>KM 14 (~82–85 min)</x:v>
      </x:c>
      <x:c r="B8" s="14" t="str">
        <x:v>X-REAL — 29 g carb + 110 mg sodium; take with water</x:v>
      </x:c>
    </x:row>
    <x:row r="9" ht="30" customHeight="1">
      <x:c r="A9" s="55" t="str">
        <x:v>During run</x:v>
      </x:c>
      <x:c r="B9" s="14" t="str">
        <x:v>Sip water to thirst / weather; do not force a fixed volume</x:v>
      </x:c>
    </x:row>
    <x:row r="10" ht="30" customHeight="1">
      <x:c r="A10" s="55" t="str">
        <x:v>In-run carbohydrate</x:v>
      </x:c>
      <x:c r="B10" s="14" t="str">
        <x:v>57 g total ≈ 31–34 g/hour over 1:40–1:50</x:v>
      </x:c>
    </x:row>
    <x:row r="11" ht="30" customHeight="1">
      <x:c r="A11" s="55" t="str">
        <x:v>Pre + in-run carbohydrate</x:v>
      </x:c>
      <x:c r="B11" s="14" t="str">
        <x:v>103 g total from ProEngy + AminoVITAL + X-REAL</x:v>
      </x:c>
    </x:row>
    <x:row r="12" ht="30" customHeight="1">
      <x:c r="A12" s="60" t="str">
        <x:v>Distance guardrail</x:v>
      </x:c>
      <x:c r="B12" s="44" t="str">
        <x:v>18K = target | 19K = only if every signal is green | 20–21K is NOT planned</x:v>
      </x:c>
    </x:row>
    <x:row r="13" ht="30" customHeight="1">
      <x:c r="A13" s="55" t="str">
        <x:v>Cool-down</x:v>
      </x:c>
      <x:c r="B13" s="14" t="str">
        <x:v>Walk 5–10 min after finishing; extra easy kilometres still count as Long Run load</x:v>
      </x:c>
    </x:row>
    <x:row r="14" ht="30" customHeight="1">
      <x:c r="A14" s="55" t="str">
        <x:v>What to record</x:v>
      </x:c>
      <x:c r="B14" s="14" t="str">
        <x:v>Energy 12–18K | calf/quad after 15–16K | GI comfort | thirst/sweat | any energy drop</x:v>
      </x:c>
    </x:row>
  </x:sheetData>
  <x:mergeCells>
    <x:mergeCell ref="A1:B1"/>
  </x:mergeCells>
  <x:pageMargins left="0.7" right="0.7" top="0.75" bottom="0.75" header="0.3" footer="0.3"/>
</x:worksheet>
</file>